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120" windowWidth="29040" windowHeight="15600"/>
  </bookViews>
  <sheets>
    <sheet name="Лист 1 " sheetId="2" r:id="rId1"/>
  </sheets>
  <definedNames>
    <definedName name="_xlnm.Print_Area" localSheetId="0">'Лист 1 '!$A$1:$G$30</definedName>
  </definedNames>
  <calcPr calcId="145621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2" l="1"/>
  <c r="H19" i="2"/>
  <c r="G13" i="2" l="1"/>
  <c r="G14" i="2"/>
  <c r="G15" i="2"/>
  <c r="G16" i="2"/>
  <c r="G17" i="2"/>
  <c r="G18" i="2"/>
  <c r="G12" i="2"/>
</calcChain>
</file>

<file path=xl/sharedStrings.xml><?xml version="1.0" encoding="utf-8"?>
<sst xmlns="http://schemas.openxmlformats.org/spreadsheetml/2006/main" count="39" uniqueCount="33">
  <si>
    <t>Единица измерения</t>
  </si>
  <si>
    <t>Наименование товара</t>
  </si>
  <si>
    <t>№ п/п</t>
  </si>
  <si>
    <t>Источник информации – коммерческие предложения трех организаций:</t>
  </si>
  <si>
    <t xml:space="preserve">Приложение №2 к протоклу начальной (максимальной) цены контракта </t>
  </si>
  <si>
    <t xml:space="preserve"> </t>
  </si>
  <si>
    <t>Поставщик № 1</t>
  </si>
  <si>
    <t>Поставщик № 2</t>
  </si>
  <si>
    <t>Поставщик № 3</t>
  </si>
  <si>
    <t>ГБУ "Автомобтльные дороги"</t>
  </si>
  <si>
    <t>Начальник ПЭК ГБУ "Автомобильные дороги"</t>
  </si>
  <si>
    <t>П.В. Юрпольский</t>
  </si>
  <si>
    <t>Главный инженер</t>
  </si>
  <si>
    <t>____________________А.В. Шарин</t>
  </si>
  <si>
    <t>Начальная сумма цен единиц товаров 2025 г.</t>
  </si>
  <si>
    <t>шт</t>
  </si>
  <si>
    <t xml:space="preserve">Расчет начальной (максимальной) цены контракта на поставку светильников светодиодных внешнего освещения  для нужд  ГБУ «Автомобильные дороги» </t>
  </si>
  <si>
    <t>Светильник наружного освещения тип 1</t>
  </si>
  <si>
    <t>Светильник наружного освещения тип 2</t>
  </si>
  <si>
    <t>Светильник наружного освещения тип 3</t>
  </si>
  <si>
    <t>Светильник наружного освещения тип 4</t>
  </si>
  <si>
    <t>Светильник наружного освещения тип 5</t>
  </si>
  <si>
    <t>Светильник наружного освещения тип 6</t>
  </si>
  <si>
    <t>Светильник наружного освещения тип 7</t>
  </si>
  <si>
    <t>"_______"________________ 202__ г.</t>
  </si>
  <si>
    <t>Цена за единицу с НДС 22% руб.</t>
  </si>
  <si>
    <t>Средняя цена за единицу (руб.) с НДС 22%</t>
  </si>
  <si>
    <t>В т.ч. НДС 22%</t>
  </si>
  <si>
    <t>Максимальное значение цены контракта: 151 000 000 (Сто пятьдесят один миллион ) рублей 00 копеек, в том числе НДС 22% - 27 229 508 (Двадцать семь миллионов двести двадцать девять тысяч пятьсот восемь) рублей 20 копеек, установлено в соответствии с лимитом бюджетного финансирования на 2026 г., остается неизменным в ходе торгов.</t>
  </si>
  <si>
    <t>Поставщик №1  № 138/2025 от 05.12.2025 г. Действительно до 20.10.2026 года.</t>
  </si>
  <si>
    <t>Поставщик №2  № 13210 от 05.12.2025 г. Действительно до 25.10.2026 года.</t>
  </si>
  <si>
    <t>Поставщик №3  № 124 от 04.12.2025 г. Действительно до 01.07.2026 года.</t>
  </si>
  <si>
    <t>Средняя цена за единицу (руб.) с НДС 22% по экспертизе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</si>
</sst>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₽&quot;_-;\-* #,##0.00\ &quot;₽&quot;_-;_-* &quot;-&quot;??\ &quot;₽&quot;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 applyBorder="0" applyProtection="0"/>
    <xf numFmtId="0" fontId="3" fillId="0" borderId="0"/>
    <xf numFmtId="44" fontId="4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5" fillId="0" borderId="0" xfId="1" applyFont="1" applyAlignment="1">
      <alignment horizontal="center" wrapText="1"/>
    </xf>
    <xf numFmtId="0" fontId="2" fillId="2" borderId="0" xfId="1" applyFont="1" applyFill="1"/>
    <xf numFmtId="0" fontId="6" fillId="0" borderId="1" xfId="1" applyFont="1" applyBorder="1" applyAlignment="1">
      <alignment horizontal="center" vertical="center" wrapText="1"/>
    </xf>
    <xf numFmtId="0" fontId="6" fillId="0" borderId="0" xfId="1" applyFont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0" fontId="10" fillId="0" borderId="0" xfId="0" applyFont="1" applyAlignment="1">
      <alignment horizontal="left" wrapText="1"/>
    </xf>
    <xf numFmtId="44" fontId="10" fillId="0" borderId="0" xfId="4" applyFont="1" applyBorder="1" applyAlignment="1" applyProtection="1">
      <alignment wrapText="1"/>
    </xf>
    <xf numFmtId="0" fontId="11" fillId="0" borderId="0" xfId="1" applyFont="1" applyAlignment="1">
      <alignment horizontal="left"/>
    </xf>
    <xf numFmtId="44" fontId="10" fillId="0" borderId="0" xfId="4" applyFont="1" applyBorder="1" applyAlignment="1" applyProtection="1">
      <alignment horizontal="right" wrapText="1"/>
    </xf>
    <xf numFmtId="4" fontId="2" fillId="0" borderId="0" xfId="1" applyNumberFormat="1" applyFont="1"/>
    <xf numFmtId="0" fontId="2" fillId="0" borderId="1" xfId="1" applyFont="1" applyBorder="1" applyAlignment="1">
      <alignment horizontal="center" wrapText="1"/>
    </xf>
    <xf numFmtId="0" fontId="8" fillId="0" borderId="0" xfId="1" applyFont="1" applyAlignment="1">
      <alignment horizontal="center" wrapText="1"/>
    </xf>
    <xf numFmtId="0" fontId="9" fillId="0" borderId="0" xfId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right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7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5" fillId="0" borderId="6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4" fontId="7" fillId="0" borderId="1" xfId="1" applyNumberFormat="1" applyFont="1" applyBorder="1" applyAlignment="1">
      <alignment horizontal="center" vertical="center" wrapText="1"/>
    </xf>
    <xf numFmtId="4" fontId="7" fillId="0" borderId="1" xfId="1" applyNumberFormat="1" applyFont="1" applyBorder="1" applyAlignment="1">
      <alignment horizontal="center" vertical="center"/>
    </xf>
    <xf numFmtId="0" fontId="12" fillId="0" borderId="2" xfId="1" applyFont="1" applyBorder="1" applyAlignment="1">
      <alignment horizontal="right" vertical="center"/>
    </xf>
    <xf numFmtId="0" fontId="12" fillId="0" borderId="3" xfId="1" applyFont="1" applyBorder="1" applyAlignment="1">
      <alignment horizontal="right" vertical="center"/>
    </xf>
    <xf numFmtId="0" fontId="12" fillId="0" borderId="4" xfId="1" applyFont="1" applyBorder="1" applyAlignment="1">
      <alignment horizontal="right" vertical="center"/>
    </xf>
    <xf numFmtId="4" fontId="12" fillId="0" borderId="1" xfId="1" applyNumberFormat="1" applyFont="1" applyBorder="1"/>
  </cellXfs>
  <cellStyles count="5">
    <cellStyle name="Денежный" xfId="4" builtinId="4"/>
    <cellStyle name="Обычный" xfId="0" builtinId="0"/>
    <cellStyle name="Обычный 2" xfId="1"/>
    <cellStyle name="Обычный 3" xfId="3"/>
    <cellStyle name="Пояснение 2" xfId="2"/>
  </cellStyles>
  <dxfs count="2"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P30"/>
  <sheetViews>
    <sheetView tabSelected="1" topLeftCell="A4" zoomScale="80" zoomScaleNormal="80" workbookViewId="0">
      <selection activeCell="C13" sqref="C13"/>
    </sheetView>
  </sheetViews>
  <sheetFormatPr defaultRowHeight="15" x14ac:dyDescent="0.25"/>
  <cols>
    <col min="1" max="1" width="7.140625" style="2" customWidth="1"/>
    <col min="2" max="2" width="31.5703125" style="2" customWidth="1"/>
    <col min="3" max="3" width="13.85546875" style="2" customWidth="1"/>
    <col min="4" max="6" width="20.5703125" style="2" customWidth="1"/>
    <col min="7" max="7" width="29" style="2" customWidth="1"/>
    <col min="8" max="8" width="14.85546875" style="2" customWidth="1"/>
    <col min="9" max="9" width="18.7109375" style="2" customWidth="1"/>
    <col min="10" max="1004" width="8.85546875" style="2" customWidth="1"/>
    <col min="1005" max="1006" width="8.85546875" style="1" customWidth="1"/>
    <col min="1007" max="16384" width="9.140625" style="1"/>
  </cols>
  <sheetData>
    <row r="1" spans="1:9" ht="26.25" customHeight="1" x14ac:dyDescent="0.3">
      <c r="A1" s="6"/>
      <c r="B1" s="16" t="s">
        <v>4</v>
      </c>
      <c r="C1" s="16"/>
      <c r="D1" s="16"/>
      <c r="E1" s="16"/>
      <c r="F1" s="16"/>
      <c r="G1" s="16"/>
    </row>
    <row r="2" spans="1:9" ht="15" customHeight="1" x14ac:dyDescent="0.3">
      <c r="A2" s="6"/>
      <c r="B2" s="7"/>
      <c r="C2" s="7"/>
      <c r="D2" s="7"/>
      <c r="E2" s="7"/>
      <c r="F2" s="7"/>
      <c r="G2" s="7"/>
    </row>
    <row r="3" spans="1:9" ht="27.75" customHeight="1" x14ac:dyDescent="0.3">
      <c r="A3" s="6"/>
      <c r="B3" s="17" t="s">
        <v>12</v>
      </c>
      <c r="C3" s="17"/>
      <c r="D3" s="17"/>
      <c r="E3" s="17"/>
      <c r="F3" s="17"/>
      <c r="G3" s="17"/>
    </row>
    <row r="4" spans="1:9" ht="27" customHeight="1" x14ac:dyDescent="0.3">
      <c r="A4" s="6"/>
      <c r="B4" s="7"/>
      <c r="C4" s="7"/>
      <c r="D4" s="7"/>
      <c r="E4" s="17" t="s">
        <v>9</v>
      </c>
      <c r="F4" s="17"/>
      <c r="G4" s="17"/>
    </row>
    <row r="5" spans="1:9" ht="40.5" customHeight="1" x14ac:dyDescent="0.3">
      <c r="A5" s="6"/>
      <c r="B5" s="7"/>
      <c r="C5" s="18" t="s">
        <v>13</v>
      </c>
      <c r="D5" s="18"/>
      <c r="E5" s="18"/>
      <c r="F5" s="18"/>
      <c r="G5" s="18"/>
    </row>
    <row r="6" spans="1:9" ht="36.75" customHeight="1" x14ac:dyDescent="0.3">
      <c r="A6" s="6"/>
      <c r="B6" s="7"/>
      <c r="C6" s="18" t="s">
        <v>24</v>
      </c>
      <c r="D6" s="18"/>
      <c r="E6" s="18"/>
      <c r="F6" s="18"/>
      <c r="G6" s="18"/>
    </row>
    <row r="7" spans="1:9" ht="20.25" customHeight="1" x14ac:dyDescent="0.3">
      <c r="A7" s="6"/>
      <c r="B7" s="6"/>
      <c r="C7" s="6"/>
      <c r="D7" s="6"/>
      <c r="E7" s="6"/>
      <c r="F7" s="6"/>
      <c r="G7" s="6"/>
    </row>
    <row r="8" spans="1:9" ht="37.5" customHeight="1" x14ac:dyDescent="0.3">
      <c r="A8" s="15" t="s">
        <v>16</v>
      </c>
      <c r="B8" s="15"/>
      <c r="C8" s="15"/>
      <c r="D8" s="15"/>
      <c r="E8" s="15"/>
      <c r="F8" s="15"/>
      <c r="G8" s="15"/>
    </row>
    <row r="9" spans="1:9" ht="6.75" customHeight="1" x14ac:dyDescent="0.3">
      <c r="A9" s="6"/>
      <c r="B9" s="6"/>
      <c r="C9" s="6"/>
      <c r="D9" s="6"/>
      <c r="E9" s="6"/>
      <c r="F9" s="6"/>
      <c r="G9" s="6"/>
    </row>
    <row r="10" spans="1:9" ht="27" customHeight="1" x14ac:dyDescent="0.25">
      <c r="A10" s="19" t="s">
        <v>2</v>
      </c>
      <c r="B10" s="20" t="s">
        <v>1</v>
      </c>
      <c r="C10" s="19" t="s">
        <v>0</v>
      </c>
      <c r="D10" s="19" t="s">
        <v>25</v>
      </c>
      <c r="E10" s="19"/>
      <c r="F10" s="19"/>
      <c r="G10" s="22" t="s">
        <v>26</v>
      </c>
      <c r="H10" s="14" t="s">
        <v>32</v>
      </c>
    </row>
    <row r="11" spans="1:9" ht="44.25" customHeight="1" x14ac:dyDescent="0.25">
      <c r="A11" s="19"/>
      <c r="B11" s="20"/>
      <c r="C11" s="19"/>
      <c r="D11" s="5" t="s">
        <v>6</v>
      </c>
      <c r="E11" s="5" t="s">
        <v>7</v>
      </c>
      <c r="F11" s="5" t="s">
        <v>8</v>
      </c>
      <c r="G11" s="23"/>
      <c r="H11" s="14"/>
      <c r="I11" s="4"/>
    </row>
    <row r="12" spans="1:9" ht="57" customHeight="1" x14ac:dyDescent="0.25">
      <c r="A12" s="30">
        <v>1</v>
      </c>
      <c r="B12" s="31" t="s">
        <v>17</v>
      </c>
      <c r="C12" s="32" t="s">
        <v>15</v>
      </c>
      <c r="D12" s="33">
        <v>31881</v>
      </c>
      <c r="E12" s="33">
        <v>34256</v>
      </c>
      <c r="F12" s="33">
        <v>35366</v>
      </c>
      <c r="G12" s="33">
        <f>(D12+E12+F12)/3</f>
        <v>33834.33</v>
      </c>
      <c r="H12" s="34">
        <v>7174.82</v>
      </c>
    </row>
    <row r="13" spans="1:9" ht="57" customHeight="1" x14ac:dyDescent="0.25">
      <c r="A13" s="30">
        <v>2</v>
      </c>
      <c r="B13" s="31" t="s">
        <v>18</v>
      </c>
      <c r="C13" s="32" t="s">
        <v>15</v>
      </c>
      <c r="D13" s="33">
        <v>69733</v>
      </c>
      <c r="E13" s="33">
        <v>74928</v>
      </c>
      <c r="F13" s="33">
        <v>77356</v>
      </c>
      <c r="G13" s="33">
        <f t="shared" ref="G13:G18" si="0">(D13+E13+F13)/3</f>
        <v>74005.67</v>
      </c>
      <c r="H13" s="34">
        <v>27288</v>
      </c>
    </row>
    <row r="14" spans="1:9" ht="55.5" customHeight="1" x14ac:dyDescent="0.25">
      <c r="A14" s="30">
        <v>3</v>
      </c>
      <c r="B14" s="31" t="s">
        <v>19</v>
      </c>
      <c r="C14" s="32" t="s">
        <v>15</v>
      </c>
      <c r="D14" s="33">
        <v>91732</v>
      </c>
      <c r="E14" s="33">
        <v>98566</v>
      </c>
      <c r="F14" s="33">
        <v>101761</v>
      </c>
      <c r="G14" s="33">
        <f t="shared" si="0"/>
        <v>97353</v>
      </c>
      <c r="H14" s="34">
        <v>39568.6</v>
      </c>
    </row>
    <row r="15" spans="1:9" ht="54.75" customHeight="1" x14ac:dyDescent="0.25">
      <c r="A15" s="30">
        <v>4</v>
      </c>
      <c r="B15" s="31" t="s">
        <v>20</v>
      </c>
      <c r="C15" s="32" t="s">
        <v>15</v>
      </c>
      <c r="D15" s="33">
        <v>137380</v>
      </c>
      <c r="E15" s="33">
        <v>147615</v>
      </c>
      <c r="F15" s="33">
        <v>152399</v>
      </c>
      <c r="G15" s="33">
        <f t="shared" si="0"/>
        <v>145798</v>
      </c>
      <c r="H15" s="34">
        <v>47986.16</v>
      </c>
    </row>
    <row r="16" spans="1:9" ht="57.75" customHeight="1" x14ac:dyDescent="0.25">
      <c r="A16" s="30">
        <v>5</v>
      </c>
      <c r="B16" s="31" t="s">
        <v>21</v>
      </c>
      <c r="C16" s="32" t="s">
        <v>15</v>
      </c>
      <c r="D16" s="33">
        <v>117381</v>
      </c>
      <c r="E16" s="33">
        <v>126126</v>
      </c>
      <c r="F16" s="33">
        <v>130214</v>
      </c>
      <c r="G16" s="33">
        <f t="shared" si="0"/>
        <v>124573.67</v>
      </c>
      <c r="H16" s="34">
        <v>17178.05</v>
      </c>
    </row>
    <row r="17" spans="1:9" ht="60.75" customHeight="1" x14ac:dyDescent="0.25">
      <c r="A17" s="30">
        <v>6</v>
      </c>
      <c r="B17" s="31" t="s">
        <v>22</v>
      </c>
      <c r="C17" s="32" t="s">
        <v>15</v>
      </c>
      <c r="D17" s="33">
        <v>29120</v>
      </c>
      <c r="E17" s="33">
        <v>31289</v>
      </c>
      <c r="F17" s="33">
        <v>32303</v>
      </c>
      <c r="G17" s="33">
        <f t="shared" si="0"/>
        <v>30904</v>
      </c>
      <c r="H17" s="34">
        <v>20410.88</v>
      </c>
    </row>
    <row r="18" spans="1:9" ht="65.25" customHeight="1" x14ac:dyDescent="0.25">
      <c r="A18" s="30">
        <v>7</v>
      </c>
      <c r="B18" s="31" t="s">
        <v>23</v>
      </c>
      <c r="C18" s="32" t="s">
        <v>15</v>
      </c>
      <c r="D18" s="33">
        <v>32695</v>
      </c>
      <c r="E18" s="33">
        <v>35131</v>
      </c>
      <c r="F18" s="33">
        <v>36270</v>
      </c>
      <c r="G18" s="33">
        <f t="shared" si="0"/>
        <v>34698.67</v>
      </c>
      <c r="H18" s="34">
        <v>32705.18</v>
      </c>
    </row>
    <row r="19" spans="1:9" ht="28.5" customHeight="1" x14ac:dyDescent="0.25">
      <c r="A19" s="35" t="s">
        <v>14</v>
      </c>
      <c r="B19" s="36"/>
      <c r="C19" s="36"/>
      <c r="D19" s="36"/>
      <c r="E19" s="36"/>
      <c r="F19" s="37"/>
      <c r="G19" s="34">
        <v>541167.34</v>
      </c>
      <c r="H19" s="38">
        <f>SUM(H12:H18)</f>
        <v>192311.69</v>
      </c>
    </row>
    <row r="20" spans="1:9" ht="23.25" customHeight="1" x14ac:dyDescent="0.25">
      <c r="A20" s="35" t="s">
        <v>27</v>
      </c>
      <c r="B20" s="36"/>
      <c r="C20" s="36"/>
      <c r="D20" s="36"/>
      <c r="E20" s="36"/>
      <c r="F20" s="37"/>
      <c r="G20" s="34">
        <v>97587.55</v>
      </c>
      <c r="H20" s="38">
        <f>H19*22/122</f>
        <v>34679.160000000003</v>
      </c>
      <c r="I20" s="13"/>
    </row>
    <row r="21" spans="1:9" ht="9" customHeight="1" x14ac:dyDescent="0.3">
      <c r="A21" s="26"/>
      <c r="B21" s="27"/>
      <c r="C21" s="27"/>
      <c r="D21" s="27"/>
      <c r="E21" s="27"/>
      <c r="F21" s="27"/>
      <c r="G21" s="29"/>
    </row>
    <row r="22" spans="1:9" ht="58.5" customHeight="1" x14ac:dyDescent="0.25">
      <c r="A22" s="25" t="s">
        <v>28</v>
      </c>
      <c r="B22" s="25"/>
      <c r="C22" s="25"/>
      <c r="D22" s="25"/>
      <c r="E22" s="25"/>
      <c r="F22" s="25"/>
      <c r="G22" s="25"/>
    </row>
    <row r="23" spans="1:9" ht="14.25" customHeight="1" x14ac:dyDescent="0.3">
      <c r="A23" s="3"/>
      <c r="B23" s="3"/>
      <c r="C23" s="3"/>
      <c r="D23" s="3"/>
      <c r="E23" s="3"/>
      <c r="F23" s="3"/>
      <c r="G23" s="3"/>
    </row>
    <row r="24" spans="1:9" ht="18.75" x14ac:dyDescent="0.3">
      <c r="A24" s="28" t="s">
        <v>3</v>
      </c>
      <c r="B24" s="28"/>
      <c r="C24" s="28"/>
      <c r="D24" s="28"/>
      <c r="E24" s="28"/>
      <c r="F24" s="28"/>
      <c r="G24" s="6"/>
    </row>
    <row r="25" spans="1:9" ht="18.75" x14ac:dyDescent="0.3">
      <c r="A25" s="21" t="s">
        <v>29</v>
      </c>
      <c r="B25" s="21"/>
      <c r="C25" s="21"/>
      <c r="D25" s="21"/>
      <c r="E25" s="21"/>
      <c r="F25" s="21"/>
      <c r="G25" s="21"/>
    </row>
    <row r="26" spans="1:9" ht="18.75" x14ac:dyDescent="0.3">
      <c r="A26" s="21" t="s">
        <v>30</v>
      </c>
      <c r="B26" s="21"/>
      <c r="C26" s="21"/>
      <c r="D26" s="21"/>
      <c r="E26" s="21"/>
      <c r="F26" s="21"/>
      <c r="G26" s="21"/>
    </row>
    <row r="27" spans="1:9" ht="18.75" x14ac:dyDescent="0.3">
      <c r="A27" s="21" t="s">
        <v>31</v>
      </c>
      <c r="B27" s="21"/>
      <c r="C27" s="21"/>
      <c r="D27" s="21"/>
      <c r="E27" s="21"/>
      <c r="F27" s="21"/>
      <c r="G27" s="21"/>
    </row>
    <row r="28" spans="1:9" ht="9.75" customHeight="1" x14ac:dyDescent="0.35">
      <c r="A28" s="8" t="s">
        <v>5</v>
      </c>
      <c r="B28" s="9"/>
      <c r="C28" s="9"/>
      <c r="D28" s="9"/>
      <c r="E28" s="9"/>
      <c r="F28" s="10"/>
      <c r="G28" s="11"/>
    </row>
    <row r="29" spans="1:9" ht="19.5" x14ac:dyDescent="0.35">
      <c r="A29" s="24" t="s">
        <v>10</v>
      </c>
      <c r="B29" s="24"/>
      <c r="C29" s="24"/>
      <c r="D29" s="24"/>
      <c r="E29" s="9"/>
      <c r="F29" s="12"/>
      <c r="G29" s="11"/>
    </row>
    <row r="30" spans="1:9" ht="20.25" customHeight="1" x14ac:dyDescent="0.25">
      <c r="A30" s="24"/>
      <c r="B30" s="24"/>
      <c r="C30" s="24"/>
      <c r="D30" s="24"/>
      <c r="E30" s="17" t="s">
        <v>11</v>
      </c>
      <c r="F30" s="17"/>
      <c r="G30" s="17"/>
    </row>
  </sheetData>
  <mergeCells count="22">
    <mergeCell ref="A26:G26"/>
    <mergeCell ref="A27:G27"/>
    <mergeCell ref="D10:F10"/>
    <mergeCell ref="G10:G11"/>
    <mergeCell ref="A29:D30"/>
    <mergeCell ref="E30:G30"/>
    <mergeCell ref="A19:F19"/>
    <mergeCell ref="A20:F20"/>
    <mergeCell ref="A22:G22"/>
    <mergeCell ref="A21:G21"/>
    <mergeCell ref="A25:G25"/>
    <mergeCell ref="A24:F24"/>
    <mergeCell ref="H10:H11"/>
    <mergeCell ref="A8:G8"/>
    <mergeCell ref="B1:G1"/>
    <mergeCell ref="B3:G3"/>
    <mergeCell ref="C5:G5"/>
    <mergeCell ref="C6:G6"/>
    <mergeCell ref="E4:G4"/>
    <mergeCell ref="A10:A11"/>
    <mergeCell ref="B10:B11"/>
    <mergeCell ref="C10:C11"/>
  </mergeCells>
  <conditionalFormatting sqref="A25:A27">
    <cfRule type="expression" dxfId="1" priority="2">
      <formula>AND(COUNTIF(#REF!,A25)+COUNTIF(#REF!,A25)&gt;1,NOT(ISBLANK(A25)))</formula>
    </cfRule>
  </conditionalFormatting>
  <conditionalFormatting sqref="B28:D28">
    <cfRule type="expression" dxfId="0" priority="1">
      <formula>AND(COUNTIF(#REF!,B28)+COUNTIF(#REF!,B28)&gt;1,NOT(ISBLANK(B28)))</formula>
    </cfRule>
  </conditionalFormatting>
  <pageMargins left="0.62992125984251968" right="0.23622047244094491" top="0.35433070866141736" bottom="0.35433070866141736" header="0.31496062992125984" footer="0.31496062992125984"/>
  <pageSetup paperSize="9" scale="96" firstPageNumber="0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 </vt:lpstr>
      <vt:lpstr>'Лист 1 '!Область_печати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Тимур Маратович. Мавлянов</dc:creator>
  <cp:lastModifiedBy>Михаил Игоревич. Торочков</cp:lastModifiedBy>
  <cp:lastPrinted>2026-02-02T06:32:03Z</cp:lastPrinted>
  <dcterms:created xsi:type="dcterms:W3CDTF">2018-09-20T10:08:51Z</dcterms:created>
  <dcterms:modified xsi:type="dcterms:W3CDTF">2026-02-02T06:33:21Z</dcterms:modified>
</cp:coreProperties>
</file>